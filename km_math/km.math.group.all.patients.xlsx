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FS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<sst xmlns="http://schemas.openxmlformats.org/spreadsheetml/2006/main" count="37" uniqueCount="37">
  <si>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Subject</t>
  </si>
  <si>
    <t xml:space="preserve">DurationDays</t>
  </si>
  <si>
    <t xml:space="preserve">DurationMonths</t>
  </si>
  <si>
    <t xml:space="preserve">IsPD</t>
  </si>
  <si>
    <t xml:space="preserve">AtRisk</t>
  </si>
  <si>
    <t xml:space="preserve">PD</t>
  </si>
  <si>
    <t xml:space="preserve">Censored</t>
  </si>
  <si>
    <t xml:space="preserve">ThisRat</t>
  </si>
  <si>
    <t xml:space="preserve">Prod</t>
  </si>
  <si>
    <t xml:space="preserve">102-006</t>
  </si>
  <si>
    <t xml:space="preserve">114-002</t>
  </si>
  <si>
    <t xml:space="preserve">110-001</t>
  </si>
  <si>
    <t xml:space="preserve">102-009</t>
  </si>
  <si>
    <t xml:space="preserve">102-010</t>
  </si>
  <si>
    <t xml:space="preserve">106-002</t>
  </si>
  <si>
    <t xml:space="preserve">109-002</t>
  </si>
  <si>
    <t xml:space="preserve">105-005</t>
  </si>
  <si>
    <t xml:space="preserve">102-014</t>
  </si>
  <si>
    <t xml:space="preserve">102-012</t>
  </si>
  <si>
    <t xml:space="preserve">110-002</t>
  </si>
  <si>
    <t xml:space="preserve">115-003</t>
  </si>
  <si>
    <t xml:space="preserve">115-004</t>
  </si>
  <si>
    <t xml:space="preserve">117-003</t>
  </si>
  <si>
    <t xml:space="preserve">102-001</t>
  </si>
  <si>
    <t xml:space="preserve">105-006</t>
  </si>
  <si>
    <t xml:space="preserve">111-003</t>
  </si>
  <si>
    <t xml:space="preserve">106-003</t>
  </si>
  <si>
    <t xml:space="preserve">116-001</t>
  </si>
  <si>
    <t xml:space="preserve">111-004</t>
  </si>
  <si>
    <t xml:space="preserve">117-001</t>
  </si>
  <si>
    <t xml:space="preserve">117-002</t>
  </si>
  <si>
    <t xml:space="preserve">104-002</t>
  </si>
  <si>
    <t xml:space="preserve">104-001</t>
  </si>
  <si>
    <t xml:space="preserve">105-001</t>
  </si>
  <si>
    <t xml:space="preserve">102-007</t>
  </si>
  <si>
    <t xml:space="preserve">TRUE</t>
  </si>
  <si>
    <t xml:space="preserve"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</si>
</sst>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CB"/>
      </patternFill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n">
        <v>55</v>
      </c>
      <c r="C2" t="str">
        <f>=B2/(365.25/12)</f>
      </c>
      <c r="D2" t="s">
        <v>35</v>
      </c>
      <c r="E2" t="n">
        <v>26</v>
      </c>
      <c r="F2" t="str">
        <f>=IF(D2="TRUE",1,0)</f>
      </c>
      <c r="G2" t="str">
        <f>=1-F2</f>
      </c>
      <c r="H2" t="str">
        <f>=(E2-F2)/E2</f>
      </c>
      <c r="I2" t="str">
        <f>=H2</f>
      </c>
    </row>
    <row r="3">
      <c r="A3" t="s">
        <v>10</v>
      </c>
      <c r="B3" t="n">
        <v>55</v>
      </c>
      <c r="C3" t="str">
        <f>=B3/(365.25/12)</f>
      </c>
      <c r="D3" t="s">
        <v>35</v>
      </c>
      <c r="E3" t="str">
        <f>=E2-F2-G2</f>
      </c>
      <c r="F3" t="str">
        <f>=IF(D3="TRUE",1,0)</f>
      </c>
      <c r="G3" t="str">
        <f>=1-F3</f>
      </c>
      <c r="H3" t="str">
        <f>=(E3-F3)/E3</f>
      </c>
      <c r="I3" t="str">
        <f>=H3*I2</f>
      </c>
    </row>
    <row r="4">
      <c r="A4" t="s">
        <v>11</v>
      </c>
      <c r="B4" t="n">
        <v>69</v>
      </c>
      <c r="C4" t="str">
        <f>=B4/(365.25/12)</f>
      </c>
      <c r="D4" t="s">
        <v>35</v>
      </c>
      <c r="E4" t="str">
        <f>=E3-F3-G3</f>
      </c>
      <c r="F4" t="str">
        <f>=IF(D4="TRUE",1,0)</f>
      </c>
      <c r="G4" t="str">
        <f>=1-F4</f>
      </c>
      <c r="H4" t="str">
        <f>=(E4-F4)/E4</f>
      </c>
      <c r="I4" t="str">
        <f>=H4*I3</f>
      </c>
    </row>
    <row r="5">
      <c r="A5" t="s">
        <v>12</v>
      </c>
      <c r="B5" t="n">
        <v>70</v>
      </c>
      <c r="C5" t="str">
        <f>=B5/(365.25/12)</f>
      </c>
      <c r="D5" t="s">
        <v>35</v>
      </c>
      <c r="E5" t="str">
        <f>=E4-F4-G4</f>
      </c>
      <c r="F5" t="str">
        <f>=IF(D5="TRUE",1,0)</f>
      </c>
      <c r="G5" t="str">
        <f>=1-F5</f>
      </c>
      <c r="H5" t="str">
        <f>=(E5-F5)/E5</f>
      </c>
      <c r="I5" t="str">
        <f>=H5*I4</f>
      </c>
    </row>
    <row r="6">
      <c r="A6" t="s">
        <v>13</v>
      </c>
      <c r="B6" t="n">
        <v>70</v>
      </c>
      <c r="C6" t="str">
        <f>=B6/(365.25/12)</f>
      </c>
      <c r="D6" t="s">
        <v>35</v>
      </c>
      <c r="E6" t="str">
        <f>=E5-F5-G5</f>
      </c>
      <c r="F6" t="str">
        <f>=IF(D6="TRUE",1,0)</f>
      </c>
      <c r="G6" t="str">
        <f>=1-F6</f>
      </c>
      <c r="H6" t="str">
        <f>=(E6-F6)/E6</f>
      </c>
      <c r="I6" t="str">
        <f>=H6*I5</f>
      </c>
    </row>
    <row r="7">
      <c r="A7" t="s">
        <v>14</v>
      </c>
      <c r="B7" t="n">
        <v>70</v>
      </c>
      <c r="C7" t="str">
        <f>=B7/(365.25/12)</f>
      </c>
      <c r="D7" t="s">
        <v>35</v>
      </c>
      <c r="E7" t="str">
        <f>=E6-F6-G6</f>
      </c>
      <c r="F7" t="str">
        <f>=IF(D7="TRUE",1,0)</f>
      </c>
      <c r="G7" t="str">
        <f>=1-F7</f>
      </c>
      <c r="H7" t="str">
        <f>=(E7-F7)/E7</f>
      </c>
      <c r="I7" t="str">
        <f>=H7*I6</f>
      </c>
    </row>
    <row r="8">
      <c r="A8" t="s">
        <v>15</v>
      </c>
      <c r="B8" t="n">
        <v>71</v>
      </c>
      <c r="C8" t="str">
        <f>=B8/(365.25/12)</f>
      </c>
      <c r="D8" t="s">
        <v>36</v>
      </c>
      <c r="E8" t="str">
        <f>=E7-F7-G7</f>
      </c>
      <c r="F8" t="str">
        <f>=IF(D8="TRUE",1,0)</f>
      </c>
      <c r="G8" t="str">
        <f>=1-F8</f>
      </c>
      <c r="H8" t="str">
        <f>=(E8-F8)/E8</f>
      </c>
      <c r="I8" t="str">
        <f>=H8*I7</f>
      </c>
    </row>
    <row r="9">
      <c r="A9" t="s">
        <v>16</v>
      </c>
      <c r="B9" t="n">
        <v>92</v>
      </c>
      <c r="C9" t="str">
        <f>=B9/(365.25/12)</f>
      </c>
      <c r="D9" t="s">
        <v>36</v>
      </c>
      <c r="E9" t="str">
        <f>=E8-F8-G8</f>
      </c>
      <c r="F9" t="str">
        <f>=IF(D9="TRUE",1,0)</f>
      </c>
      <c r="G9" t="str">
        <f>=1-F9</f>
      </c>
      <c r="H9" t="str">
        <f>=(E9-F9)/E9</f>
      </c>
      <c r="I9" t="str">
        <f>=H9*I8</f>
      </c>
    </row>
    <row r="10">
      <c r="A10" t="s">
        <v>17</v>
      </c>
      <c r="B10" t="n">
        <v>113</v>
      </c>
      <c r="C10" t="str">
        <f>=B10/(365.25/12)</f>
      </c>
      <c r="D10" t="s">
        <v>36</v>
      </c>
      <c r="E10" t="str">
        <f>=E9-F9-G9</f>
      </c>
      <c r="F10" t="str">
        <f>=IF(D10="TRUE",1,0)</f>
      </c>
      <c r="G10" t="str">
        <f>=1-F10</f>
      </c>
      <c r="H10" t="str">
        <f>=(E10-F10)/E10</f>
      </c>
      <c r="I10" t="str">
        <f>=H10*I9</f>
      </c>
    </row>
    <row r="11">
      <c r="A11" t="s">
        <v>18</v>
      </c>
      <c r="B11" t="n">
        <v>115</v>
      </c>
      <c r="C11" t="str">
        <f>=B11/(365.25/12)</f>
      </c>
      <c r="D11" t="s">
        <v>36</v>
      </c>
      <c r="E11" t="str">
        <f>=E10-F10-G10</f>
      </c>
      <c r="F11" t="str">
        <f>=IF(D11="TRUE",1,0)</f>
      </c>
      <c r="G11" t="str">
        <f>=1-F11</f>
      </c>
      <c r="H11" t="str">
        <f>=(E11-F11)/E11</f>
      </c>
      <c r="I11" t="str">
        <f>=H11*I10</f>
      </c>
    </row>
    <row r="12">
      <c r="A12" t="s">
        <v>19</v>
      </c>
      <c r="B12" t="n">
        <v>115</v>
      </c>
      <c r="C12" t="str">
        <f>=B12/(365.25/12)</f>
      </c>
      <c r="D12" t="s">
        <v>35</v>
      </c>
      <c r="E12" t="str">
        <f>=E11-F11-G11</f>
      </c>
      <c r="F12" t="str">
        <f>=IF(D12="TRUE",1,0)</f>
      </c>
      <c r="G12" t="str">
        <f>=1-F12</f>
      </c>
      <c r="H12" t="str">
        <f>=(E12-F12)/E12</f>
      </c>
      <c r="I12" t="str">
        <f>=H12*I11</f>
      </c>
    </row>
    <row r="13">
      <c r="A13" t="s">
        <v>20</v>
      </c>
      <c r="B13" t="n">
        <v>165</v>
      </c>
      <c r="C13" t="str">
        <f>=B13/(365.25/12)</f>
      </c>
      <c r="D13" t="s">
        <v>35</v>
      </c>
      <c r="E13" t="str">
        <f>=E12-F12-G12</f>
      </c>
      <c r="F13" t="str">
        <f>=IF(D13="TRUE",1,0)</f>
      </c>
      <c r="G13" t="str">
        <f>=1-F13</f>
      </c>
      <c r="H13" t="str">
        <f>=(E13-F13)/E13</f>
      </c>
      <c r="I13" t="str">
        <f>=H13*I12</f>
      </c>
    </row>
    <row r="14">
      <c r="A14" t="s">
        <v>21</v>
      </c>
      <c r="B14" t="n">
        <v>167</v>
      </c>
      <c r="C14" t="str">
        <f>=B14/(365.25/12)</f>
      </c>
      <c r="D14" t="s">
        <v>35</v>
      </c>
      <c r="E14" t="str">
        <f>=E13-F13-G13</f>
      </c>
      <c r="F14" t="str">
        <f>=IF(D14="TRUE",1,0)</f>
      </c>
      <c r="G14" t="str">
        <f>=1-F14</f>
      </c>
      <c r="H14" t="str">
        <f>=(E14-F14)/E14</f>
      </c>
      <c r="I14" t="str">
        <f>=H14*I13</f>
      </c>
    </row>
    <row r="15">
      <c r="A15" t="s">
        <v>22</v>
      </c>
      <c r="B15" t="n">
        <v>172</v>
      </c>
      <c r="C15" t="str">
        <f>=B15/(365.25/12)</f>
      </c>
      <c r="D15" t="s">
        <v>36</v>
      </c>
      <c r="E15" t="str">
        <f>=E14-F14-G14</f>
      </c>
      <c r="F15" t="str">
        <f>=IF(D15="TRUE",1,0)</f>
      </c>
      <c r="G15" t="str">
        <f>=1-F15</f>
      </c>
      <c r="H15" t="str">
        <f>=(E15-F15)/E15</f>
      </c>
      <c r="I15" t="str">
        <f>=H15*I14</f>
      </c>
    </row>
    <row r="16">
      <c r="A16" t="s">
        <v>23</v>
      </c>
      <c r="B16" t="n">
        <v>182</v>
      </c>
      <c r="C16" t="str">
        <f>=B16/(365.25/12)</f>
      </c>
      <c r="D16" t="s">
        <v>35</v>
      </c>
      <c r="E16" t="str">
        <f>=E15-F15-G15</f>
      </c>
      <c r="F16" t="str">
        <f>=IF(D16="TRUE",1,0)</f>
      </c>
      <c r="G16" t="str">
        <f>=1-F16</f>
      </c>
      <c r="H16" t="str">
        <f>=(E16-F16)/E16</f>
      </c>
      <c r="I16" t="str">
        <f>=H16*I15</f>
      </c>
    </row>
    <row r="17">
      <c r="A17" t="s">
        <v>24</v>
      </c>
      <c r="B17" t="n">
        <v>182</v>
      </c>
      <c r="C17" t="str">
        <f>=B17/(365.25/12)</f>
      </c>
      <c r="D17" t="s">
        <v>35</v>
      </c>
      <c r="E17" t="str">
        <f>=E16-F16-G16</f>
      </c>
      <c r="F17" t="str">
        <f>=IF(D17="TRUE",1,0)</f>
      </c>
      <c r="G17" t="str">
        <f>=1-F17</f>
      </c>
      <c r="H17" t="str">
        <f>=(E17-F17)/E17</f>
      </c>
      <c r="I17" t="str">
        <f>=H17*I16</f>
      </c>
    </row>
    <row r="18">
      <c r="A18" t="s">
        <v>25</v>
      </c>
      <c r="B18" t="n">
        <v>209</v>
      </c>
      <c r="C18" t="str">
        <f>=B18/(365.25/12)</f>
      </c>
      <c r="D18" t="s">
        <v>36</v>
      </c>
      <c r="E18" t="str">
        <f>=E17-F17-G17</f>
      </c>
      <c r="F18" t="str">
        <f>=IF(D18="TRUE",1,0)</f>
      </c>
      <c r="G18" t="str">
        <f>=1-F18</f>
      </c>
      <c r="H18" t="str">
        <f>=(E18-F18)/E18</f>
      </c>
      <c r="I18" t="str">
        <f>=H18*I17</f>
      </c>
    </row>
    <row r="19">
      <c r="A19" t="s">
        <v>26</v>
      </c>
      <c r="B19" t="n">
        <v>223</v>
      </c>
      <c r="C19" t="str">
        <f>=B19/(365.25/12)</f>
      </c>
      <c r="D19" t="s">
        <v>36</v>
      </c>
      <c r="E19" t="str">
        <f>=E18-F18-G18</f>
      </c>
      <c r="F19" t="str">
        <f>=IF(D19="TRUE",1,0)</f>
      </c>
      <c r="G19" t="str">
        <f>=1-F19</f>
      </c>
      <c r="H19" t="str">
        <f>=(E19-F19)/E19</f>
      </c>
      <c r="I19" t="str">
        <f>=H19*I18</f>
      </c>
    </row>
    <row r="20">
      <c r="A20" t="s">
        <v>27</v>
      </c>
      <c r="B20" t="n">
        <v>227</v>
      </c>
      <c r="C20" t="str">
        <f>=B20/(365.25/12)</f>
      </c>
      <c r="D20" t="s">
        <v>36</v>
      </c>
      <c r="E20" t="str">
        <f>=E19-F19-G19</f>
      </c>
      <c r="F20" t="str">
        <f>=IF(D20="TRUE",1,0)</f>
      </c>
      <c r="G20" t="str">
        <f>=1-F20</f>
      </c>
      <c r="H20" t="str">
        <f>=(E20-F20)/E20</f>
      </c>
      <c r="I20" t="str">
        <f>=H20*I19</f>
      </c>
    </row>
    <row r="21">
      <c r="A21" t="s">
        <v>28</v>
      </c>
      <c r="B21" t="n">
        <v>241</v>
      </c>
      <c r="C21" t="str">
        <f>=B21/(365.25/12)</f>
      </c>
      <c r="D21" t="s">
        <v>36</v>
      </c>
      <c r="E21" t="str">
        <f>=E20-F20-G20</f>
      </c>
      <c r="F21" t="str">
        <f>=IF(D21="TRUE",1,0)</f>
      </c>
      <c r="G21" t="str">
        <f>=1-F21</f>
      </c>
      <c r="H21" t="str">
        <f>=(E21-F21)/E21</f>
      </c>
      <c r="I21" t="str">
        <f>=H21*I20</f>
      </c>
    </row>
    <row r="22">
      <c r="A22" t="s">
        <v>29</v>
      </c>
      <c r="B22" t="n">
        <v>253</v>
      </c>
      <c r="C22" t="str">
        <f>=B22/(365.25/12)</f>
      </c>
      <c r="D22" t="s">
        <v>36</v>
      </c>
      <c r="E22" t="str">
        <f>=E21-F21-G21</f>
      </c>
      <c r="F22" t="str">
        <f>=IF(D22="TRUE",1,0)</f>
      </c>
      <c r="G22" t="str">
        <f>=1-F22</f>
      </c>
      <c r="H22" t="str">
        <f>=(E22-F22)/E22</f>
      </c>
      <c r="I22" t="str">
        <f>=H22*I21</f>
      </c>
    </row>
    <row r="23">
      <c r="A23" t="s">
        <v>30</v>
      </c>
      <c r="B23" t="n">
        <v>254</v>
      </c>
      <c r="C23" t="str">
        <f>=B23/(365.25/12)</f>
      </c>
      <c r="D23" t="s">
        <v>35</v>
      </c>
      <c r="E23" t="str">
        <f>=E22-F22-G22</f>
      </c>
      <c r="F23" t="str">
        <f>=IF(D23="TRUE",1,0)</f>
      </c>
      <c r="G23" t="str">
        <f>=1-F23</f>
      </c>
      <c r="H23" t="str">
        <f>=(E23-F23)/E23</f>
      </c>
      <c r="I23" s="2" t="str">
        <f>=H23*I22</f>
      </c>
    </row>
    <row r="24">
      <c r="A24" t="s">
        <v>31</v>
      </c>
      <c r="B24" t="n">
        <v>265</v>
      </c>
      <c r="C24" t="str">
        <f>=B24/(365.25/12)</f>
      </c>
      <c r="D24" t="s">
        <v>35</v>
      </c>
      <c r="E24" t="str">
        <f>=E23-F23-G23</f>
      </c>
      <c r="F24" t="str">
        <f>=IF(D24="TRUE",1,0)</f>
      </c>
      <c r="G24" t="str">
        <f>=1-F24</f>
      </c>
      <c r="H24" t="str">
        <f>=(E24-F24)/E24</f>
      </c>
      <c r="I24" t="str">
        <f>=H24*I23</f>
      </c>
    </row>
    <row r="25">
      <c r="A25" t="s">
        <v>32</v>
      </c>
      <c r="B25" t="n">
        <v>329</v>
      </c>
      <c r="C25" t="str">
        <f>=B25/(365.25/12)</f>
      </c>
      <c r="D25" t="s">
        <v>35</v>
      </c>
      <c r="E25" t="str">
        <f>=E24-F24-G24</f>
      </c>
      <c r="F25" t="str">
        <f>=IF(D25="TRUE",1,0)</f>
      </c>
      <c r="G25" t="str">
        <f>=1-F25</f>
      </c>
      <c r="H25" t="str">
        <f>=(E25-F25)/E25</f>
      </c>
      <c r="I25" t="str">
        <f>=H25*I24</f>
      </c>
    </row>
    <row r="26">
      <c r="A26" t="s">
        <v>33</v>
      </c>
      <c r="B26" t="n">
        <v>432</v>
      </c>
      <c r="C26" t="str">
        <f>=B26/(365.25/12)</f>
      </c>
      <c r="D26" t="s">
        <v>35</v>
      </c>
      <c r="E26" t="str">
        <f>=E25-F25-G25</f>
      </c>
      <c r="F26" t="str">
        <f>=IF(D26="TRUE",1,0)</f>
      </c>
      <c r="G26" t="str">
        <f>=1-F26</f>
      </c>
      <c r="H26" t="str">
        <f>=(E26-F26)/E26</f>
      </c>
      <c r="I26" t="str">
        <f>=H26*I25</f>
      </c>
    </row>
    <row r="27">
      <c r="A27" t="s">
        <v>34</v>
      </c>
      <c r="B27" t="n">
        <v>685</v>
      </c>
      <c r="C27" t="str">
        <f>=B27/(365.25/12)</f>
      </c>
      <c r="D27" t="s">
        <v>35</v>
      </c>
      <c r="E27" t="str">
        <f>=E26-F26-G26</f>
      </c>
      <c r="F27" t="str">
        <f>=IF(D27="TRUE",1,0)</f>
      </c>
      <c r="G27" t="str">
        <f>=1-F27</f>
      </c>
      <c r="H27" t="str">
        <f>=(E27-F27)/E27</f>
      </c>
      <c r="I27" t="str">
        <f>=H27*I26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pjdu4</dc:creator>
  <cp:lastModifiedBy>pjdu4</cp:lastModifiedBy>
  <dcterms:created xsi:type="dcterms:W3CDTF">2026-08-28T19:34:59Z</dcterms:created>
</coreProperties>
</file>